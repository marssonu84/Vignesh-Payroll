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Calculator" sheetId="1" state="visible" r:id="rId1"/>
    <sheet xmlns:r="http://schemas.openxmlformats.org/officeDocument/2006/relationships" name="Formula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Previous Standard Salary</t>
        </is>
      </c>
      <c r="B1" s="1" t="inlineStr">
        <is>
          <t>Increment</t>
        </is>
      </c>
      <c r="C1" s="1" t="inlineStr">
        <is>
          <t>Salary Adjustment</t>
        </is>
      </c>
      <c r="D1" s="1" t="inlineStr">
        <is>
          <t>Days in Month</t>
        </is>
      </c>
      <c r="E1" s="1" t="inlineStr">
        <is>
          <t>Leaves</t>
        </is>
      </c>
      <c r="F1" s="1" t="inlineStr">
        <is>
          <t>PF Member</t>
        </is>
      </c>
      <c r="G1" s="1" t="inlineStr">
        <is>
          <t>ESI Member</t>
        </is>
      </c>
      <c r="H1" s="1" t="inlineStr">
        <is>
          <t>Salary Advance</t>
        </is>
      </c>
      <c r="I1" s="1" t="inlineStr">
        <is>
          <t>Other Deductions</t>
        </is>
      </c>
      <c r="J1" s="1" t="inlineStr">
        <is>
          <t>Standard Salary</t>
        </is>
      </c>
      <c r="K1" s="1" t="inlineStr">
        <is>
          <t>LOP</t>
        </is>
      </c>
      <c r="L1" s="1" t="inlineStr">
        <is>
          <t>Gross Salary</t>
        </is>
      </c>
      <c r="M1" s="1" t="inlineStr">
        <is>
          <t>Basic (80%)</t>
        </is>
      </c>
      <c r="N1" s="1" t="inlineStr">
        <is>
          <t>DA (20%)</t>
        </is>
      </c>
      <c r="O1" s="1" t="inlineStr">
        <is>
          <t>PF</t>
        </is>
      </c>
      <c r="P1" s="1" t="inlineStr">
        <is>
          <t>ESI Basic (80%)</t>
        </is>
      </c>
      <c r="Q1" s="1" t="inlineStr">
        <is>
          <t>ESI</t>
        </is>
      </c>
      <c r="R1" s="1" t="inlineStr">
        <is>
          <t>PT</t>
        </is>
      </c>
      <c r="S1" s="1" t="inlineStr">
        <is>
          <t>Total Deductions</t>
        </is>
      </c>
      <c r="T1" s="1" t="inlineStr">
        <is>
          <t>Net Pay</t>
        </is>
      </c>
    </row>
    <row r="2">
      <c r="A2" t="n">
        <v>25000</v>
      </c>
      <c r="B2" t="n">
        <v>0</v>
      </c>
      <c r="C2" t="n">
        <v>0</v>
      </c>
      <c r="D2" t="n">
        <v>30</v>
      </c>
      <c r="E2" t="n">
        <v>0</v>
      </c>
      <c r="F2" t="inlineStr">
        <is>
          <t>Yes</t>
        </is>
      </c>
      <c r="G2" t="inlineStr">
        <is>
          <t>Yes</t>
        </is>
      </c>
      <c r="H2" t="n">
        <v>0</v>
      </c>
      <c r="I2" t="n">
        <v>0</v>
      </c>
      <c r="J2">
        <f>A2+B2+C2</f>
        <v/>
      </c>
      <c r="K2">
        <f>IF(D2&lt;=0,0,J2/D2*E2)</f>
        <v/>
      </c>
      <c r="L2">
        <f>J2-K2</f>
        <v/>
      </c>
      <c r="M2">
        <f>L2*80%</f>
        <v/>
      </c>
      <c r="N2">
        <f>L2*20%</f>
        <v/>
      </c>
      <c r="O2">
        <f>IF(F2="Yes",ROUND(IF(M2&gt;25000,3000,M2*12%),0),0)</f>
        <v/>
      </c>
      <c r="P2">
        <f>J2*80%</f>
        <v/>
      </c>
      <c r="Q2">
        <f>IF(G2="Yes",ROUND(IF(P2&gt;21000,0,P2*0.75%),0),0)</f>
        <v/>
      </c>
      <c r="R2">
        <f>IF(L2&lt;=15000,0,IF(L2&lt;=20000,150,200))</f>
        <v/>
      </c>
      <c r="S2">
        <f>O2+Q2+R2+H2+I2</f>
        <v/>
      </c>
      <c r="T2">
        <f>ROUND(L2-S2,0)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Payroll formula version</t>
        </is>
      </c>
      <c r="B1" s="1" t="inlineStr">
        <is>
          <t>V10.19 / Basic 80% / DA 20% / PF cap ₹3,000 / ESI Basic 80%</t>
        </is>
      </c>
    </row>
    <row r="2">
      <c r="A2" t="inlineStr">
        <is>
          <t>Standard Salary</t>
        </is>
      </c>
      <c r="B2" t="inlineStr">
        <is>
          <t>Previous Standard Salary + Increment + Salary Adjustment</t>
        </is>
      </c>
    </row>
    <row r="3">
      <c r="A3" t="inlineStr">
        <is>
          <t>LOP</t>
        </is>
      </c>
      <c r="B3" t="inlineStr">
        <is>
          <t>Standard Salary / Days in Month × Leaves</t>
        </is>
      </c>
    </row>
    <row r="4">
      <c r="A4" t="inlineStr">
        <is>
          <t>Gross Salary</t>
        </is>
      </c>
      <c r="B4" t="inlineStr">
        <is>
          <t>Standard Salary − LOP</t>
        </is>
      </c>
    </row>
    <row r="5">
      <c r="A5" t="inlineStr">
        <is>
          <t>Basic</t>
        </is>
      </c>
      <c r="B5" t="inlineStr">
        <is>
          <t>Gross Salary × 80%</t>
        </is>
      </c>
    </row>
    <row r="6">
      <c r="A6" t="inlineStr">
        <is>
          <t>DA</t>
        </is>
      </c>
      <c r="B6" t="inlineStr">
        <is>
          <t>Gross Salary × 20%</t>
        </is>
      </c>
    </row>
    <row r="7">
      <c r="A7" t="inlineStr">
        <is>
          <t>HRA / Overtime</t>
        </is>
      </c>
      <c r="B7" t="inlineStr">
        <is>
          <t>Eliminated from active payroll calculation and display</t>
        </is>
      </c>
    </row>
    <row r="8">
      <c r="A8" t="inlineStr">
        <is>
          <t>PF</t>
        </is>
      </c>
      <c r="B8" t="inlineStr">
        <is>
          <t>If PF Member = Yes: 12% of Basic; when Basic &gt; ₹25,000, PF = ₹3,000; rounded to nearest rupee.</t>
        </is>
      </c>
    </row>
    <row r="9">
      <c r="A9" t="inlineStr">
        <is>
          <t>ESI Basic</t>
        </is>
      </c>
      <c r="B9" t="inlineStr">
        <is>
          <t>Standard Salary × 80% (protected from LOP/leaves in the application)</t>
        </is>
      </c>
    </row>
    <row r="10">
      <c r="A10" t="inlineStr">
        <is>
          <t>ESI</t>
        </is>
      </c>
      <c r="B10" t="inlineStr">
        <is>
          <t>If ESI Member = Yes and ESI Basic ≤ ₹21,000: 0.75% of ESI Basic; otherwise 0; rounded to nearest rupee.</t>
        </is>
      </c>
    </row>
    <row r="11">
      <c r="A11" t="inlineStr">
        <is>
          <t>PT</t>
        </is>
      </c>
      <c r="B11" t="inlineStr">
        <is>
          <t>₹0 up to ₹15,000; ₹150 for ₹15,001–₹20,000; ₹200 above ₹20,000.</t>
        </is>
      </c>
    </row>
    <row r="12">
      <c r="A12" t="inlineStr">
        <is>
          <t>Total Deductions</t>
        </is>
      </c>
      <c r="B12" t="inlineStr">
        <is>
          <t>PF + ESI + PT + Salary Advance + Other Deductions</t>
        </is>
      </c>
    </row>
    <row r="13">
      <c r="A13" t="inlineStr">
        <is>
          <t>Net Pay</t>
        </is>
      </c>
      <c r="B13" t="inlineStr">
        <is>
          <t>Gross Salary − Total Deductions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2026-09-21T15:25:05Z</dcterms:created>
  <dcterms:modified xmlns:dcterms="http://purl.org/dc/terms/" xmlns:xsi="http://www.w3.org/2001/XMLSchema-instance" xsi:type="dcterms:W3CDTF">2026-09-21T15:25:05Z</dcterms:modified>
</cp:coreProperties>
</file>